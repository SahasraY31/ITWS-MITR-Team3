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rpiexchange-my.sharepoint.com/personal/yellas_rpi_edu/Documents/"/>
    </mc:Choice>
  </mc:AlternateContent>
  <xr:revisionPtr revIDLastSave="222" documentId="8_{06783CE6-A02E-4AD2-B622-F2AD4AECFB2C}" xr6:coauthVersionLast="47" xr6:coauthVersionMax="47" xr10:uidLastSave="{BE52C358-8779-469E-96E4-0A469B9281D0}"/>
  <bookViews>
    <workbookView xWindow="-98" yWindow="-98" windowWidth="19396" windowHeight="11475" firstSheet="1" activeTab="1" xr2:uid="{92D59C42-8879-452A-8CEE-A00B49A6FF01}"/>
  </bookViews>
  <sheets>
    <sheet name="Risk Management Plan" sheetId="1" r:id="rId1"/>
    <sheet name="Risk Analysi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 s="1"/>
  <c r="D21" i="3"/>
  <c r="D20" i="3"/>
  <c r="D17" i="3"/>
  <c r="D16" i="3"/>
  <c r="D15" i="3" s="1"/>
  <c r="D13" i="3"/>
  <c r="D12" i="3"/>
  <c r="D11" i="3"/>
  <c r="D8" i="3"/>
  <c r="D7" i="3"/>
  <c r="F3" i="1"/>
  <c r="F4" i="1"/>
  <c r="F5" i="1"/>
  <c r="F6" i="1"/>
  <c r="F7" i="1"/>
  <c r="F8" i="1"/>
  <c r="F9" i="1"/>
  <c r="F10" i="1"/>
  <c r="F11" i="1"/>
  <c r="F2" i="1"/>
  <c r="D13" i="1"/>
  <c r="E3" i="1" s="1"/>
  <c r="D19" i="3" l="1"/>
  <c r="E6" i="1"/>
  <c r="E8" i="1"/>
  <c r="E10" i="1"/>
  <c r="E9" i="1"/>
  <c r="E7" i="1"/>
  <c r="E5" i="1"/>
  <c r="E2" i="1"/>
  <c r="E4" i="1"/>
  <c r="E11" i="1"/>
  <c r="D10" i="3"/>
  <c r="D23" i="3"/>
</calcChain>
</file>

<file path=xl/sharedStrings.xml><?xml version="1.0" encoding="utf-8"?>
<sst xmlns="http://schemas.openxmlformats.org/spreadsheetml/2006/main" count="134" uniqueCount="89">
  <si>
    <t>Risk Category</t>
  </si>
  <si>
    <t>Risk</t>
  </si>
  <si>
    <t>Probability of Problem</t>
  </si>
  <si>
    <t xml:space="preserve">Impact </t>
  </si>
  <si>
    <t>Weight of Risk
 (% of all impacts)</t>
  </si>
  <si>
    <t>Probability * Impact $$</t>
  </si>
  <si>
    <t>Probability*Impact Score 
Assuming 0-3 Range
Rounded to Whole Number</t>
  </si>
  <si>
    <t>Technology</t>
  </si>
  <si>
    <t>Level of Complexity</t>
  </si>
  <si>
    <t>Level of Customization</t>
  </si>
  <si>
    <t>Configuration Detail</t>
  </si>
  <si>
    <t>Resource</t>
  </si>
  <si>
    <t>Member Drops</t>
  </si>
  <si>
    <t>Skill Level of Resources</t>
  </si>
  <si>
    <t>Cost of Training</t>
  </si>
  <si>
    <t>Organizational Risk</t>
  </si>
  <si>
    <t>Percentage of Volunteers affected</t>
  </si>
  <si>
    <t>Process Change Required</t>
  </si>
  <si>
    <t>Implementation</t>
  </si>
  <si>
    <t>Timeline (Client Delays)</t>
  </si>
  <si>
    <t>Impact on Existing Systems</t>
  </si>
  <si>
    <t>sum</t>
  </si>
  <si>
    <r>
      <t xml:space="preserve">Instructions: Enter the weight and score for each type of risk, and the explanation for it. </t>
    </r>
    <r>
      <rPr>
        <b/>
        <i/>
        <sz val="10"/>
        <color indexed="48"/>
        <rFont val="Arial"/>
        <family val="2"/>
      </rPr>
      <t>(only the values in blue should be entered)</t>
    </r>
  </si>
  <si>
    <t>Coefficient</t>
  </si>
  <si>
    <t>Criteria</t>
  </si>
  <si>
    <t>Weight</t>
  </si>
  <si>
    <t>Score (0-3)</t>
  </si>
  <si>
    <t>Weighted Score</t>
  </si>
  <si>
    <t>Explanation</t>
  </si>
  <si>
    <t>Technology Risk</t>
  </si>
  <si>
    <t>----</t>
  </si>
  <si>
    <t>High</t>
  </si>
  <si>
    <t>Medium</t>
  </si>
  <si>
    <t>Low</t>
  </si>
  <si>
    <t>None</t>
  </si>
  <si>
    <t xml:space="preserve">Low </t>
  </si>
  <si>
    <t xml:space="preserve">Due to the variety of implementations for increased functionality for volunteers and youth council admins. </t>
  </si>
  <si>
    <t>Level of Customization required</t>
  </si>
  <si>
    <t>Due to utlizing Wix, there are some limits to customization</t>
  </si>
  <si>
    <t>Configuration Detail required</t>
  </si>
  <si>
    <t>Wix was chosen so it's easy for Youth Council admins to maintain, so it has a lower risk</t>
  </si>
  <si>
    <t>Resource Risk</t>
  </si>
  <si>
    <t>Availability of Resources</t>
  </si>
  <si>
    <t>None 
Available</t>
  </si>
  <si>
    <t>Some</t>
  </si>
  <si>
    <t>Almost All</t>
  </si>
  <si>
    <t>All 
Available</t>
  </si>
  <si>
    <t xml:space="preserve">Free Wix platform allows for customization but at a limit, Youth Council admins are okay with changes making this a low risk. </t>
  </si>
  <si>
    <t>Skill level of Available Resources</t>
  </si>
  <si>
    <t xml:space="preserve">None  </t>
  </si>
  <si>
    <t xml:space="preserve">Medium </t>
  </si>
  <si>
    <t>Team is used to more technical work and don't have prior experience with Wix</t>
  </si>
  <si>
    <t>Cost of training per personnel</t>
  </si>
  <si>
    <t>Low risk as admins are already used to the application so not much other onboarding will be required.</t>
  </si>
  <si>
    <t>Organizational Complexity</t>
  </si>
  <si>
    <t>---</t>
  </si>
  <si>
    <t>Percentage of volunteer students affected</t>
  </si>
  <si>
    <t>All units</t>
  </si>
  <si>
    <t>&gt; 50% units</t>
  </si>
  <si>
    <t>&lt; 50% units</t>
  </si>
  <si>
    <t>None units</t>
  </si>
  <si>
    <t xml:space="preserve">Volunteers will using be relying more on the website as main source. Admins will replace other files as this is all consolidated so higher risk. </t>
  </si>
  <si>
    <t>Most/All</t>
  </si>
  <si>
    <t xml:space="preserve">Some </t>
  </si>
  <si>
    <t>Few</t>
  </si>
  <si>
    <t>Volunteers will be using this website rather than utilizing other tools causing new changes.</t>
  </si>
  <si>
    <t>Implementation Risk</t>
  </si>
  <si>
    <t>Timeline</t>
  </si>
  <si>
    <t>&gt; 24 months</t>
  </si>
  <si>
    <t>12 - 24 months</t>
  </si>
  <si>
    <t>3 - 12 months</t>
  </si>
  <si>
    <t>0 - 3 months</t>
  </si>
  <si>
    <t>Slight risk as there is a short turnaround time to get a new website</t>
  </si>
  <si>
    <t xml:space="preserve">Higher risk as much more traffic to this website will replace main processes. </t>
  </si>
  <si>
    <t>Risk Index (0-100)</t>
  </si>
  <si>
    <t>Sum = 10</t>
  </si>
  <si>
    <t>The following chart can be used to calculate Discount Rate</t>
  </si>
  <si>
    <t>Risk Index</t>
  </si>
  <si>
    <t>Discount Rate</t>
  </si>
  <si>
    <t>90 - 100</t>
  </si>
  <si>
    <t>80 - 89</t>
  </si>
  <si>
    <t>70 - 79</t>
  </si>
  <si>
    <t>60 - 69</t>
  </si>
  <si>
    <t>50 - 59</t>
  </si>
  <si>
    <t xml:space="preserve">40 - 49 </t>
  </si>
  <si>
    <t xml:space="preserve">30 - 39 </t>
  </si>
  <si>
    <t>20 - 29</t>
  </si>
  <si>
    <t>10 - 19</t>
  </si>
  <si>
    <t>0 - 9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</si>
</sst>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6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i/>
      <sz val="10"/>
      <color rgb="FF3366FF"/>
      <name val="Arial"/>
    </font>
    <font>
      <b/>
      <sz val="10"/>
      <color theme="1"/>
      <name val="Arial"/>
    </font>
    <font>
      <b/>
      <sz val="10"/>
      <color rgb="FF4F81BD"/>
      <name val="Arial"/>
    </font>
    <font>
      <b/>
      <sz val="10"/>
      <color rgb="FFC0C0C0"/>
      <name val="Arial"/>
    </font>
    <font>
      <sz val="10"/>
      <color rgb="FF4F81BD"/>
      <name val="Arial"/>
    </font>
    <font>
      <sz val="10"/>
      <color rgb="FF0000FF"/>
      <name val="Arial"/>
    </font>
    <font>
      <i/>
      <sz val="10"/>
      <color rgb="FF0000FF"/>
      <name val="Arial"/>
    </font>
    <font>
      <sz val="10"/>
      <color rgb="FF4285F4"/>
      <name val="Arial"/>
    </font>
    <font>
      <i/>
      <sz val="10"/>
      <color rgb="FF4285F4"/>
      <name val="Arial"/>
    </font>
    <font>
      <sz val="11"/>
      <color rgb="FF000000"/>
      <name val="Calibri"/>
    </font>
    <font>
      <sz val="11"/>
      <color theme="1"/>
      <name val="Calibri"/>
    </font>
    <font>
      <i/>
      <sz val="10"/>
      <color indexed="48"/>
      <name val="Arial"/>
      <family val="2"/>
    </font>
    <font>
      <b/>
      <i/>
      <sz val="10"/>
      <color indexed="4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4"/>
      <name val="Arial"/>
      <family val="2"/>
    </font>
    <font>
      <b/>
      <sz val="10"/>
      <color indexed="22"/>
      <name val="Arial"/>
      <family val="2"/>
    </font>
    <font>
      <sz val="10"/>
      <color theme="4"/>
      <name val="Arial"/>
      <family val="2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9" fontId="0" fillId="0" borderId="0" xfId="0" applyNumberFormat="1"/>
    <xf numFmtId="9" fontId="15" fillId="0" borderId="0" xfId="0" applyNumberFormat="1" applyFont="1"/>
    <xf numFmtId="164" fontId="14" fillId="0" borderId="0" xfId="1" applyNumberFormat="1" applyFont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0" fontId="3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4" fontId="7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left" wrapText="1"/>
    </xf>
    <xf numFmtId="4" fontId="9" fillId="0" borderId="0" xfId="1" applyNumberFormat="1" applyFont="1" applyAlignment="1">
      <alignment horizontal="center"/>
    </xf>
    <xf numFmtId="0" fontId="10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Alignment="1">
      <alignment horizontal="left" wrapText="1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0" xfId="1" applyFont="1" applyAlignment="1">
      <alignment horizontal="left" wrapText="1"/>
    </xf>
    <xf numFmtId="0" fontId="12" fillId="0" borderId="0" xfId="1" applyFont="1" applyAlignment="1">
      <alignment horizontal="center"/>
    </xf>
    <xf numFmtId="0" fontId="13" fillId="0" borderId="0" xfId="1" applyFont="1" applyAlignment="1">
      <alignment horizontal="left" wrapText="1"/>
    </xf>
    <xf numFmtId="0" fontId="3" fillId="0" borderId="0" xfId="1" applyFont="1" applyAlignment="1">
      <alignment horizontal="center" vertical="top"/>
    </xf>
    <xf numFmtId="0" fontId="14" fillId="0" borderId="0" xfId="1" applyFont="1"/>
    <xf numFmtId="164" fontId="0" fillId="0" borderId="0" xfId="0" applyNumberFormat="1"/>
    <xf numFmtId="0" fontId="4" fillId="0" borderId="0" xfId="2"/>
    <xf numFmtId="0" fontId="4" fillId="0" borderId="0" xfId="2" applyAlignment="1" applyProtection="1">
      <alignment horizontal="left"/>
      <protection locked="0"/>
    </xf>
    <xf numFmtId="0" fontId="4" fillId="0" borderId="0" xfId="2" applyProtection="1">
      <protection locked="0"/>
    </xf>
    <xf numFmtId="2" fontId="4" fillId="0" borderId="0" xfId="2" applyNumberFormat="1" applyProtection="1">
      <protection locked="0"/>
    </xf>
    <xf numFmtId="0" fontId="4" fillId="0" borderId="0" xfId="2" applyAlignment="1" applyProtection="1">
      <alignment horizontal="left" wrapText="1"/>
      <protection locked="0"/>
    </xf>
    <xf numFmtId="0" fontId="18" fillId="0" borderId="0" xfId="2" applyFont="1" applyAlignment="1" applyProtection="1">
      <alignment horizontal="left"/>
      <protection locked="0"/>
    </xf>
    <xf numFmtId="0" fontId="19" fillId="2" borderId="5" xfId="2" applyFont="1" applyFill="1" applyBorder="1" applyAlignment="1" applyProtection="1">
      <alignment horizontal="left" wrapText="1"/>
      <protection locked="0"/>
    </xf>
    <xf numFmtId="0" fontId="19" fillId="2" borderId="5" xfId="2" applyFont="1" applyFill="1" applyBorder="1" applyAlignment="1">
      <alignment horizontal="center"/>
    </xf>
    <xf numFmtId="1" fontId="19" fillId="2" borderId="5" xfId="2" applyNumberFormat="1" applyFont="1" applyFill="1" applyBorder="1" applyAlignment="1" applyProtection="1">
      <alignment horizontal="center" wrapText="1"/>
      <protection locked="0"/>
    </xf>
    <xf numFmtId="2" fontId="19" fillId="2" borderId="5" xfId="2" applyNumberFormat="1" applyFont="1" applyFill="1" applyBorder="1" applyAlignment="1">
      <alignment horizontal="center" wrapText="1"/>
    </xf>
    <xf numFmtId="0" fontId="19" fillId="2" borderId="5" xfId="2" applyFont="1" applyFill="1" applyBorder="1" applyAlignment="1" applyProtection="1">
      <alignment horizontal="center" wrapText="1"/>
      <protection locked="0"/>
    </xf>
    <xf numFmtId="0" fontId="19" fillId="0" borderId="5" xfId="2" applyFont="1" applyBorder="1" applyAlignment="1" applyProtection="1">
      <alignment horizontal="left" wrapText="1"/>
      <protection locked="0"/>
    </xf>
    <xf numFmtId="0" fontId="20" fillId="0" borderId="5" xfId="2" applyFont="1" applyBorder="1" applyAlignment="1">
      <alignment horizontal="center"/>
    </xf>
    <xf numFmtId="1" fontId="21" fillId="0" borderId="5" xfId="2" quotePrefix="1" applyNumberFormat="1" applyFont="1" applyBorder="1" applyAlignment="1">
      <alignment horizontal="center" wrapText="1"/>
    </xf>
    <xf numFmtId="2" fontId="19" fillId="0" borderId="5" xfId="2" applyNumberFormat="1" applyFont="1" applyBorder="1" applyAlignment="1">
      <alignment horizontal="center" wrapText="1"/>
    </xf>
    <xf numFmtId="0" fontId="19" fillId="0" borderId="5" xfId="2" applyFont="1" applyBorder="1" applyAlignment="1" applyProtection="1">
      <alignment horizontal="center" wrapText="1"/>
      <protection locked="0"/>
    </xf>
    <xf numFmtId="0" fontId="18" fillId="0" borderId="5" xfId="2" applyFont="1" applyBorder="1" applyAlignment="1" applyProtection="1">
      <alignment horizontal="left" wrapText="1"/>
      <protection locked="0"/>
    </xf>
    <xf numFmtId="0" fontId="18" fillId="0" borderId="5" xfId="2" applyFont="1" applyBorder="1" applyAlignment="1" applyProtection="1">
      <alignment horizontal="left" wrapText="1" indent="1"/>
      <protection locked="0"/>
    </xf>
    <xf numFmtId="0" fontId="22" fillId="0" borderId="5" xfId="2" applyFont="1" applyBorder="1" applyAlignment="1">
      <alignment horizontal="center"/>
    </xf>
    <xf numFmtId="1" fontId="23" fillId="0" borderId="5" xfId="2" applyNumberFormat="1" applyFont="1" applyBorder="1" applyAlignment="1" applyProtection="1">
      <alignment horizontal="center" wrapText="1"/>
      <protection locked="0"/>
    </xf>
    <xf numFmtId="2" fontId="18" fillId="0" borderId="5" xfId="2" applyNumberFormat="1" applyFont="1" applyBorder="1" applyAlignment="1">
      <alignment horizontal="center" wrapText="1"/>
    </xf>
    <xf numFmtId="0" fontId="18" fillId="0" borderId="5" xfId="2" applyFont="1" applyBorder="1" applyAlignment="1" applyProtection="1">
      <alignment horizontal="center" wrapText="1"/>
      <protection locked="0"/>
    </xf>
    <xf numFmtId="0" fontId="24" fillId="0" borderId="5" xfId="2" applyFont="1" applyBorder="1" applyAlignment="1" applyProtection="1">
      <alignment horizontal="left" wrapText="1"/>
      <protection locked="0"/>
    </xf>
    <xf numFmtId="0" fontId="19" fillId="0" borderId="5" xfId="2" applyFont="1" applyBorder="1" applyAlignment="1">
      <alignment horizontal="center"/>
    </xf>
    <xf numFmtId="1" fontId="19" fillId="0" borderId="5" xfId="2" applyNumberFormat="1" applyFont="1" applyBorder="1" applyAlignment="1" applyProtection="1">
      <alignment horizontal="center" wrapText="1"/>
      <protection locked="0"/>
    </xf>
    <xf numFmtId="0" fontId="16" fillId="0" borderId="5" xfId="2" applyFont="1" applyBorder="1" applyAlignment="1" applyProtection="1">
      <alignment horizontal="left" wrapText="1"/>
      <protection locked="0"/>
    </xf>
    <xf numFmtId="0" fontId="18" fillId="0" borderId="5" xfId="2" applyFont="1" applyBorder="1" applyAlignment="1" applyProtection="1">
      <alignment horizontal="left" vertical="top" wrapText="1" indent="1"/>
      <protection locked="0"/>
    </xf>
    <xf numFmtId="0" fontId="22" fillId="0" borderId="5" xfId="2" applyFont="1" applyBorder="1" applyAlignment="1">
      <alignment horizontal="center" wrapText="1"/>
    </xf>
    <xf numFmtId="0" fontId="23" fillId="0" borderId="5" xfId="2" applyFont="1" applyBorder="1" applyAlignment="1" applyProtection="1">
      <alignment horizontal="center" wrapText="1"/>
      <protection locked="0"/>
    </xf>
    <xf numFmtId="0" fontId="18" fillId="0" borderId="5" xfId="2" applyFont="1" applyBorder="1" applyAlignment="1" applyProtection="1">
      <alignment horizontal="center" vertical="top" wrapText="1"/>
      <protection locked="0"/>
    </xf>
    <xf numFmtId="0" fontId="23" fillId="0" borderId="5" xfId="2" applyFont="1" applyBorder="1" applyAlignment="1" applyProtection="1">
      <alignment horizontal="center"/>
      <protection locked="0"/>
    </xf>
    <xf numFmtId="0" fontId="19" fillId="0" borderId="5" xfId="2" applyFont="1" applyBorder="1" applyAlignment="1" applyProtection="1">
      <alignment horizontal="left" vertical="top" wrapText="1"/>
      <protection locked="0"/>
    </xf>
    <xf numFmtId="0" fontId="4" fillId="0" borderId="5" xfId="2" applyBorder="1" applyAlignment="1" applyProtection="1">
      <alignment horizontal="center"/>
      <protection locked="0"/>
    </xf>
    <xf numFmtId="0" fontId="18" fillId="0" borderId="6" xfId="2" applyFont="1" applyBorder="1" applyAlignment="1" applyProtection="1">
      <alignment horizontal="left" vertical="top" wrapText="1" indent="1"/>
      <protection locked="0"/>
    </xf>
    <xf numFmtId="0" fontId="22" fillId="0" borderId="6" xfId="2" applyFont="1" applyBorder="1" applyAlignment="1">
      <alignment horizontal="center" wrapText="1"/>
    </xf>
    <xf numFmtId="0" fontId="23" fillId="0" borderId="6" xfId="2" applyFont="1" applyBorder="1" applyAlignment="1" applyProtection="1">
      <alignment horizontal="center"/>
      <protection locked="0"/>
    </xf>
    <xf numFmtId="0" fontId="18" fillId="0" borderId="6" xfId="2" applyFont="1" applyBorder="1" applyAlignment="1" applyProtection="1">
      <alignment horizontal="center" vertical="top" wrapText="1"/>
      <protection locked="0"/>
    </xf>
    <xf numFmtId="0" fontId="4" fillId="0" borderId="5" xfId="2" applyBorder="1" applyAlignment="1" applyProtection="1">
      <alignment horizontal="left"/>
      <protection locked="0"/>
    </xf>
    <xf numFmtId="0" fontId="4" fillId="0" borderId="5" xfId="2" applyBorder="1"/>
    <xf numFmtId="0" fontId="4" fillId="0" borderId="5" xfId="2" applyBorder="1" applyProtection="1">
      <protection locked="0"/>
    </xf>
    <xf numFmtId="2" fontId="4" fillId="0" borderId="5" xfId="2" applyNumberFormat="1" applyBorder="1"/>
    <xf numFmtId="0" fontId="18" fillId="0" borderId="5" xfId="2" applyFont="1" applyBorder="1" applyProtection="1">
      <protection locked="0"/>
    </xf>
    <xf numFmtId="0" fontId="4" fillId="0" borderId="5" xfId="2" applyBorder="1" applyAlignment="1" applyProtection="1">
      <alignment horizontal="left" wrapText="1"/>
      <protection locked="0"/>
    </xf>
    <xf numFmtId="0" fontId="19" fillId="2" borderId="5" xfId="2" applyFont="1" applyFill="1" applyBorder="1" applyAlignment="1" applyProtection="1">
      <alignment horizontal="left"/>
      <protection locked="0"/>
    </xf>
    <xf numFmtId="0" fontId="4" fillId="2" borderId="5" xfId="2" applyFill="1" applyBorder="1"/>
    <xf numFmtId="0" fontId="4" fillId="2" borderId="5" xfId="2" applyFill="1" applyBorder="1" applyProtection="1">
      <protection locked="0"/>
    </xf>
    <xf numFmtId="2" fontId="19" fillId="2" borderId="5" xfId="2" applyNumberFormat="1" applyFont="1" applyFill="1" applyBorder="1" applyAlignment="1">
      <alignment horizontal="center"/>
    </xf>
    <xf numFmtId="0" fontId="18" fillId="2" borderId="5" xfId="2" applyFont="1" applyFill="1" applyBorder="1" applyProtection="1">
      <protection locked="0"/>
    </xf>
    <xf numFmtId="0" fontId="4" fillId="2" borderId="5" xfId="2" applyFill="1" applyBorder="1" applyAlignment="1" applyProtection="1">
      <alignment horizontal="left" wrapText="1"/>
      <protection locked="0"/>
    </xf>
    <xf numFmtId="0" fontId="4" fillId="0" borderId="0" xfId="2" applyAlignment="1" applyProtection="1">
      <alignment wrapText="1"/>
      <protection locked="0"/>
    </xf>
    <xf numFmtId="2" fontId="18" fillId="0" borderId="0" xfId="2" applyNumberFormat="1" applyFont="1" applyProtection="1">
      <protection locked="0"/>
    </xf>
    <xf numFmtId="0" fontId="19" fillId="0" borderId="0" xfId="2" applyFont="1" applyProtection="1">
      <protection locked="0"/>
    </xf>
    <xf numFmtId="2" fontId="25" fillId="0" borderId="0" xfId="2" applyNumberFormat="1" applyFont="1" applyProtection="1">
      <protection locked="0"/>
    </xf>
    <xf numFmtId="0" fontId="25" fillId="0" borderId="0" xfId="2" applyFont="1" applyProtection="1">
      <protection locked="0"/>
    </xf>
    <xf numFmtId="9" fontId="4" fillId="0" borderId="0" xfId="2" applyNumberFormat="1" applyProtection="1">
      <protection locked="0"/>
    </xf>
    <xf numFmtId="1" fontId="18" fillId="0" borderId="0" xfId="2" applyNumberFormat="1" applyFont="1" applyProtection="1">
      <protection locked="0"/>
    </xf>
    <xf numFmtId="1" fontId="4" fillId="0" borderId="0" xfId="2" applyNumberFormat="1" applyProtection="1">
      <protection locked="0"/>
    </xf>
    <xf numFmtId="49" fontId="18" fillId="0" borderId="0" xfId="2" applyNumberFormat="1" applyFont="1" applyProtection="1">
      <protection locked="0"/>
    </xf>
    <xf numFmtId="10" fontId="0" fillId="0" borderId="0" xfId="0" applyNumberFormat="1"/>
    <xf numFmtId="0" fontId="11" fillId="0" borderId="1" xfId="1" applyFont="1" applyBorder="1" applyAlignment="1">
      <alignment horizontal="left"/>
    </xf>
    <xf numFmtId="0" fontId="16" fillId="0" borderId="2" xfId="2" applyFont="1" applyBorder="1" applyAlignment="1" applyProtection="1">
      <alignment horizontal="left"/>
      <protection locked="0"/>
    </xf>
    <xf numFmtId="0" fontId="16" fillId="0" borderId="3" xfId="2" applyFont="1" applyBorder="1" applyAlignment="1" applyProtection="1">
      <alignment horizontal="left"/>
      <protection locked="0"/>
    </xf>
    <xf numFmtId="0" fontId="16" fillId="0" borderId="4" xfId="2" applyFont="1" applyBorder="1" applyAlignment="1" applyProtection="1">
      <alignment horizontal="left"/>
      <protection locked="0"/>
    </xf>
    <xf numFmtId="0" fontId="4" fillId="0" borderId="0" xfId="2" applyAlignment="1" applyProtection="1">
      <alignment horizontal="left" wrapText="1"/>
      <protection locked="0"/>
    </xf>
  </cellXfs>
  <cellStyles count="3">
    <cellStyle name="Normal" xfId="0" builtinId="0"/>
    <cellStyle name="Normal 2" xfId="1" xr:uid="{19287A16-EA0A-441F-8F5B-B5B8035DC8E5}"/>
    <cellStyle name="Normal 3" xfId="2" xr:uid="{5C78542C-89B9-41E0-9E52-A5AFB56D3D00}"/>
  </cellStyles>
  <dxfs count="3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 defaultTableStyle="TableStyleMedium2" defaultPivotStyle="PivotStyleLight16">
    <tableStyle name="Sheet1-style" pivot="0" count="3" xr9:uid="{2FBDAF36-9E2B-4AF2-AA54-DCCF4B8AF6C7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5E37-02E3-4381-93C0-486F16F0B4CF}">
  <dimension ref="A1:I34"/>
  <sheetViews>
    <sheetView zoomScale="123" workbookViewId="0">
      <selection activeCell="D8" sqref="D8"/>
    </sheetView>
  </sheetViews>
  <sheetFormatPr defaultColWidth="19.85546875" defaultRowHeight="14.25"/>
  <cols>
    <col min="1" max="1" width="37.7109375" bestFit="1" customWidth="1"/>
    <col min="2" max="2" width="27" bestFit="1" customWidth="1"/>
    <col min="3" max="3" width="18" bestFit="1" customWidth="1"/>
    <col min="4" max="5" width="14.5703125" bestFit="1" customWidth="1"/>
    <col min="6" max="6" width="18.5703125" bestFit="1" customWidth="1"/>
    <col min="7" max="7" width="21.85546875" bestFit="1" customWidth="1"/>
    <col min="8" max="8" width="11.85546875" bestFit="1" customWidth="1"/>
    <col min="9" max="9" width="20.140625" bestFit="1" customWidth="1"/>
  </cols>
  <sheetData>
    <row r="1" spans="1:9" ht="46.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9">
      <c r="A2" t="s">
        <v>7</v>
      </c>
      <c r="B2" t="s">
        <v>8</v>
      </c>
      <c r="C2" s="4">
        <v>0.1</v>
      </c>
      <c r="D2" s="5">
        <v>5000</v>
      </c>
      <c r="E2" s="3">
        <f>1-ABS(D2-D$13)/D$13</f>
        <v>0.1333333333333333</v>
      </c>
      <c r="F2" s="25">
        <f>C2*D2</f>
        <v>500</v>
      </c>
      <c r="G2">
        <v>2</v>
      </c>
    </row>
    <row r="3" spans="1:9">
      <c r="A3" t="s">
        <v>7</v>
      </c>
      <c r="B3" t="s">
        <v>9</v>
      </c>
      <c r="C3" s="4">
        <v>0.3</v>
      </c>
      <c r="D3" s="5">
        <v>3000</v>
      </c>
      <c r="E3" s="3">
        <f t="shared" ref="E3:E11" si="0">1-ABS(D3-D$13)/D$13</f>
        <v>7.999999999999996E-2</v>
      </c>
      <c r="F3" s="25">
        <f t="shared" ref="F3:F11" si="1">C3*D3</f>
        <v>900</v>
      </c>
      <c r="G3">
        <v>2</v>
      </c>
    </row>
    <row r="4" spans="1:9">
      <c r="A4" t="s">
        <v>7</v>
      </c>
      <c r="B4" t="s">
        <v>10</v>
      </c>
      <c r="C4" s="4">
        <v>0.1</v>
      </c>
      <c r="D4" s="5">
        <v>1000</v>
      </c>
      <c r="E4" s="3">
        <f t="shared" si="0"/>
        <v>2.6666666666666616E-2</v>
      </c>
      <c r="F4" s="25">
        <f t="shared" si="1"/>
        <v>100</v>
      </c>
      <c r="G4">
        <v>1</v>
      </c>
    </row>
    <row r="5" spans="1:9">
      <c r="A5" t="s">
        <v>11</v>
      </c>
      <c r="B5" t="s">
        <v>12</v>
      </c>
      <c r="C5" s="4">
        <v>0.1</v>
      </c>
      <c r="D5" s="5">
        <v>1000</v>
      </c>
      <c r="E5" s="3">
        <f t="shared" si="0"/>
        <v>2.6666666666666616E-2</v>
      </c>
      <c r="F5" s="25">
        <f t="shared" si="1"/>
        <v>100</v>
      </c>
      <c r="G5">
        <v>1</v>
      </c>
    </row>
    <row r="6" spans="1:9">
      <c r="A6" t="s">
        <v>11</v>
      </c>
      <c r="B6" t="s">
        <v>13</v>
      </c>
      <c r="C6" s="4">
        <v>0.25</v>
      </c>
      <c r="D6" s="5">
        <v>3000</v>
      </c>
      <c r="E6" s="3">
        <f t="shared" si="0"/>
        <v>7.999999999999996E-2</v>
      </c>
      <c r="F6" s="25">
        <f t="shared" si="1"/>
        <v>750</v>
      </c>
      <c r="G6">
        <v>2</v>
      </c>
    </row>
    <row r="7" spans="1:9">
      <c r="A7" t="s">
        <v>11</v>
      </c>
      <c r="B7" t="s">
        <v>14</v>
      </c>
      <c r="C7" s="4">
        <v>0.1</v>
      </c>
      <c r="D7" s="5">
        <v>1000</v>
      </c>
      <c r="E7" s="3">
        <f t="shared" si="0"/>
        <v>2.6666666666666616E-2</v>
      </c>
      <c r="F7" s="25">
        <f t="shared" si="1"/>
        <v>100</v>
      </c>
      <c r="G7">
        <v>1</v>
      </c>
    </row>
    <row r="8" spans="1:9">
      <c r="A8" t="s">
        <v>15</v>
      </c>
      <c r="B8" t="s">
        <v>16</v>
      </c>
      <c r="C8" s="4">
        <v>0.5</v>
      </c>
      <c r="D8" s="5">
        <v>8000</v>
      </c>
      <c r="E8" s="3">
        <f t="shared" si="0"/>
        <v>0.21333333333333337</v>
      </c>
      <c r="F8" s="25">
        <f t="shared" si="1"/>
        <v>4000</v>
      </c>
      <c r="G8">
        <v>3</v>
      </c>
    </row>
    <row r="9" spans="1:9">
      <c r="A9" t="s">
        <v>15</v>
      </c>
      <c r="B9" t="s">
        <v>17</v>
      </c>
      <c r="C9" s="4">
        <v>0.2</v>
      </c>
      <c r="D9" s="5">
        <v>3000</v>
      </c>
      <c r="E9" s="3">
        <f t="shared" si="0"/>
        <v>7.999999999999996E-2</v>
      </c>
      <c r="F9" s="25">
        <f t="shared" si="1"/>
        <v>600</v>
      </c>
      <c r="G9">
        <v>2</v>
      </c>
    </row>
    <row r="10" spans="1:9">
      <c r="A10" t="s">
        <v>18</v>
      </c>
      <c r="B10" t="s">
        <v>19</v>
      </c>
      <c r="C10" s="4">
        <v>0.1</v>
      </c>
      <c r="D10" s="5">
        <v>5000</v>
      </c>
      <c r="E10" s="3">
        <f t="shared" si="0"/>
        <v>0.1333333333333333</v>
      </c>
      <c r="F10" s="25">
        <f t="shared" si="1"/>
        <v>500</v>
      </c>
      <c r="G10">
        <v>2</v>
      </c>
    </row>
    <row r="11" spans="1:9">
      <c r="A11" t="s">
        <v>18</v>
      </c>
      <c r="B11" t="s">
        <v>20</v>
      </c>
      <c r="C11" s="4">
        <v>0.8</v>
      </c>
      <c r="D11" s="5">
        <v>7500</v>
      </c>
      <c r="E11" s="3">
        <f t="shared" si="0"/>
        <v>0.19999999999999996</v>
      </c>
      <c r="F11" s="25">
        <f t="shared" si="1"/>
        <v>6000</v>
      </c>
      <c r="G11">
        <v>3</v>
      </c>
    </row>
    <row r="13" spans="1:9">
      <c r="B13" t="s">
        <v>21</v>
      </c>
      <c r="D13" s="25">
        <f>SUM(D2:D11)</f>
        <v>37500</v>
      </c>
      <c r="E13" s="84"/>
    </row>
    <row r="16" spans="1:9">
      <c r="A16" s="6"/>
      <c r="B16" s="7"/>
      <c r="C16" s="8"/>
      <c r="D16" s="8"/>
      <c r="E16" s="8"/>
      <c r="F16" s="8"/>
      <c r="G16" s="8"/>
      <c r="H16" s="8"/>
      <c r="I16" s="6"/>
    </row>
    <row r="17" spans="1:9">
      <c r="A17" s="9"/>
      <c r="B17" s="10"/>
      <c r="C17" s="10"/>
      <c r="D17" s="10"/>
      <c r="E17" s="10"/>
      <c r="F17" s="10"/>
      <c r="G17" s="10"/>
      <c r="H17" s="10"/>
      <c r="I17" s="9"/>
    </row>
    <row r="18" spans="1:9">
      <c r="A18" s="9"/>
      <c r="B18" s="11"/>
      <c r="C18" s="12"/>
      <c r="D18" s="10"/>
      <c r="E18" s="10"/>
      <c r="F18" s="10"/>
      <c r="G18" s="10"/>
      <c r="H18" s="10"/>
      <c r="I18" s="6"/>
    </row>
    <row r="19" spans="1:9">
      <c r="A19" s="13"/>
      <c r="B19" s="14"/>
      <c r="C19" s="15"/>
      <c r="D19" s="16"/>
      <c r="E19" s="16"/>
      <c r="F19" s="16"/>
      <c r="G19" s="16"/>
      <c r="H19" s="16"/>
      <c r="I19" s="17"/>
    </row>
    <row r="20" spans="1:9">
      <c r="A20" s="13"/>
      <c r="B20" s="14"/>
      <c r="C20" s="15"/>
      <c r="D20" s="16"/>
      <c r="E20" s="16"/>
      <c r="F20" s="16"/>
      <c r="G20" s="16"/>
      <c r="H20" s="16"/>
      <c r="I20" s="17"/>
    </row>
    <row r="21" spans="1:9">
      <c r="A21" s="13"/>
      <c r="B21" s="14"/>
      <c r="C21" s="15"/>
      <c r="D21" s="16"/>
      <c r="E21" s="16"/>
      <c r="F21" s="16"/>
      <c r="G21" s="16"/>
      <c r="H21" s="16"/>
      <c r="I21" s="17"/>
    </row>
    <row r="22" spans="1:9">
      <c r="A22" s="9"/>
      <c r="B22" s="10"/>
      <c r="C22" s="10"/>
      <c r="D22" s="10"/>
      <c r="E22" s="16"/>
      <c r="F22" s="16"/>
      <c r="G22" s="16"/>
      <c r="H22" s="16"/>
      <c r="I22" s="6"/>
    </row>
    <row r="23" spans="1:9">
      <c r="A23" s="9"/>
      <c r="B23" s="18"/>
      <c r="C23" s="12"/>
      <c r="D23" s="10"/>
      <c r="E23" s="10"/>
      <c r="F23" s="10"/>
      <c r="G23" s="10"/>
      <c r="H23" s="10"/>
      <c r="I23" s="6"/>
    </row>
    <row r="24" spans="1:9">
      <c r="A24" s="13"/>
      <c r="B24" s="19"/>
      <c r="C24" s="15"/>
      <c r="D24" s="16"/>
      <c r="E24" s="16"/>
      <c r="F24" s="16"/>
      <c r="G24" s="16"/>
      <c r="H24" s="16"/>
      <c r="I24" s="20"/>
    </row>
    <row r="25" spans="1:9">
      <c r="A25" s="6"/>
      <c r="B25" s="19"/>
      <c r="C25" s="15"/>
      <c r="D25" s="16"/>
      <c r="E25" s="16"/>
      <c r="F25" s="16"/>
      <c r="G25" s="16"/>
      <c r="H25" s="16"/>
      <c r="I25" s="20"/>
    </row>
    <row r="26" spans="1:9">
      <c r="A26" s="6"/>
      <c r="B26" s="19"/>
      <c r="C26" s="15"/>
      <c r="D26" s="16"/>
      <c r="E26" s="16"/>
      <c r="F26" s="16"/>
      <c r="G26" s="16"/>
      <c r="H26" s="16"/>
      <c r="I26" s="20"/>
    </row>
    <row r="27" spans="1:9">
      <c r="A27" s="6"/>
      <c r="B27" s="19"/>
      <c r="C27" s="21"/>
      <c r="D27" s="16"/>
      <c r="E27" s="16"/>
      <c r="F27" s="16"/>
      <c r="G27" s="16"/>
      <c r="H27" s="16"/>
      <c r="I27" s="22"/>
    </row>
    <row r="28" spans="1:9">
      <c r="A28" s="9"/>
      <c r="B28" s="18"/>
      <c r="C28" s="12"/>
      <c r="D28" s="10"/>
      <c r="E28" s="10"/>
      <c r="F28" s="10"/>
      <c r="G28" s="10"/>
      <c r="H28" s="10"/>
      <c r="I28" s="6"/>
    </row>
    <row r="29" spans="1:9">
      <c r="A29" s="9"/>
      <c r="B29" s="18"/>
      <c r="C29" s="12"/>
      <c r="D29" s="10"/>
      <c r="E29" s="10"/>
      <c r="F29" s="10"/>
      <c r="G29" s="10"/>
      <c r="H29" s="10"/>
      <c r="I29" s="6"/>
    </row>
    <row r="30" spans="1:9">
      <c r="A30" s="6"/>
      <c r="B30" s="19"/>
      <c r="C30" s="15"/>
      <c r="D30" s="16"/>
      <c r="E30" s="23"/>
      <c r="F30" s="23"/>
      <c r="G30" s="23"/>
      <c r="H30" s="23"/>
      <c r="I30" s="20"/>
    </row>
    <row r="31" spans="1:9">
      <c r="A31" s="24"/>
      <c r="B31" s="19"/>
      <c r="C31" s="15"/>
      <c r="D31" s="16"/>
      <c r="E31" s="23"/>
      <c r="F31" s="23"/>
      <c r="G31" s="23"/>
      <c r="H31" s="23"/>
      <c r="I31" s="20"/>
    </row>
    <row r="32" spans="1:9">
      <c r="A32" s="6"/>
      <c r="B32" s="19"/>
      <c r="C32" s="15"/>
      <c r="D32" s="16"/>
      <c r="E32" s="23"/>
      <c r="F32" s="23"/>
      <c r="G32" s="23"/>
      <c r="H32" s="23"/>
      <c r="I32" s="20"/>
    </row>
    <row r="33" spans="1:9">
      <c r="A33" s="6"/>
      <c r="B33" s="8"/>
      <c r="C33" s="8"/>
      <c r="D33" s="8"/>
      <c r="E33" s="8"/>
      <c r="F33" s="8"/>
      <c r="G33" s="8"/>
      <c r="H33" s="8"/>
      <c r="I33" s="6"/>
    </row>
    <row r="34" spans="1:9">
      <c r="A34" s="9"/>
      <c r="B34" s="8"/>
      <c r="C34" s="8"/>
      <c r="D34" s="10"/>
      <c r="E34" s="8"/>
      <c r="F34" s="8"/>
      <c r="G34" s="8"/>
      <c r="H34" s="8"/>
      <c r="I3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5EDA-D045-48D8-951C-EE74066CD42B}">
  <dimension ref="A1:J44"/>
  <sheetViews>
    <sheetView tabSelected="1" workbookViewId="0">
      <selection activeCell="B18" sqref="B18"/>
    </sheetView>
  </sheetViews>
  <sheetFormatPr defaultColWidth="8.85546875" defaultRowHeight="12.75"/>
  <cols>
    <col min="1" max="1" width="27.42578125" style="26" bestFit="1" customWidth="1"/>
    <col min="2" max="2" width="11.7109375" style="26" bestFit="1" customWidth="1"/>
    <col min="3" max="3" width="10.140625" style="26" bestFit="1" customWidth="1"/>
    <col min="4" max="4" width="48.85546875" style="26" bestFit="1" customWidth="1"/>
    <col min="5" max="5" width="13.140625" style="26" bestFit="1" customWidth="1"/>
    <col min="6" max="6" width="7.7109375" style="26" bestFit="1" customWidth="1"/>
    <col min="7" max="7" width="8.85546875" style="26"/>
    <col min="8" max="8" width="8" style="26" bestFit="1" customWidth="1"/>
    <col min="9" max="9" width="87.85546875" style="26" bestFit="1" customWidth="1"/>
    <col min="10" max="16384" width="8.85546875" style="26"/>
  </cols>
  <sheetData>
    <row r="1" spans="1:9">
      <c r="A1" s="86" t="s">
        <v>22</v>
      </c>
      <c r="B1" s="87"/>
      <c r="C1" s="87"/>
      <c r="D1" s="87"/>
      <c r="E1" s="87"/>
      <c r="F1" s="87"/>
      <c r="G1" s="87"/>
      <c r="H1" s="87"/>
      <c r="I1" s="88"/>
    </row>
    <row r="2" spans="1:9">
      <c r="A2" s="27"/>
      <c r="B2" s="28"/>
      <c r="C2" s="28"/>
      <c r="D2" s="29"/>
      <c r="E2" s="28"/>
      <c r="F2" s="28"/>
      <c r="G2" s="28"/>
      <c r="H2" s="28"/>
      <c r="I2" s="30"/>
    </row>
    <row r="3" spans="1:9">
      <c r="A3" s="31" t="s">
        <v>23</v>
      </c>
      <c r="B3" s="26">
        <v>3.3333333330000001</v>
      </c>
      <c r="C3" s="28"/>
      <c r="D3" s="29"/>
      <c r="E3" s="28"/>
      <c r="F3" s="28"/>
      <c r="G3" s="28"/>
      <c r="H3" s="28"/>
      <c r="I3" s="30"/>
    </row>
    <row r="4" spans="1:9" ht="26.25">
      <c r="A4" s="32" t="s">
        <v>24</v>
      </c>
      <c r="B4" s="33" t="s">
        <v>25</v>
      </c>
      <c r="C4" s="34" t="s">
        <v>26</v>
      </c>
      <c r="D4" s="35" t="s">
        <v>27</v>
      </c>
      <c r="E4" s="36">
        <v>3</v>
      </c>
      <c r="F4" s="36">
        <v>2</v>
      </c>
      <c r="G4" s="36">
        <v>1</v>
      </c>
      <c r="H4" s="36">
        <v>0</v>
      </c>
      <c r="I4" s="32" t="s">
        <v>28</v>
      </c>
    </row>
    <row r="5" spans="1:9" ht="13.15">
      <c r="A5" s="37" t="s">
        <v>29</v>
      </c>
      <c r="B5" s="38">
        <v>2.4</v>
      </c>
      <c r="C5" s="39" t="s">
        <v>30</v>
      </c>
      <c r="D5" s="40">
        <f>SUM(D6:D8)</f>
        <v>14.999999998500002</v>
      </c>
      <c r="E5" s="41" t="s">
        <v>31</v>
      </c>
      <c r="F5" s="41" t="s">
        <v>32</v>
      </c>
      <c r="G5" s="41" t="s">
        <v>33</v>
      </c>
      <c r="H5" s="41" t="s">
        <v>34</v>
      </c>
      <c r="I5" s="42"/>
    </row>
    <row r="6" spans="1:9">
      <c r="A6" s="43" t="s">
        <v>8</v>
      </c>
      <c r="B6" s="44">
        <v>1.3</v>
      </c>
      <c r="C6" s="45">
        <v>2</v>
      </c>
      <c r="D6" s="46">
        <f>C6*$B$3*B6</f>
        <v>8.6666666658000011</v>
      </c>
      <c r="E6" s="47" t="s">
        <v>31</v>
      </c>
      <c r="F6" s="47" t="s">
        <v>32</v>
      </c>
      <c r="G6" s="47" t="s">
        <v>35</v>
      </c>
      <c r="H6" s="47" t="s">
        <v>34</v>
      </c>
      <c r="I6" s="85" t="s">
        <v>36</v>
      </c>
    </row>
    <row r="7" spans="1:9">
      <c r="A7" s="43" t="s">
        <v>37</v>
      </c>
      <c r="B7" s="44">
        <v>0.8</v>
      </c>
      <c r="C7" s="45">
        <v>2</v>
      </c>
      <c r="D7" s="46">
        <f>C7*$B$3*B7</f>
        <v>5.3333333328000005</v>
      </c>
      <c r="E7" s="47" t="s">
        <v>31</v>
      </c>
      <c r="F7" s="47" t="s">
        <v>32</v>
      </c>
      <c r="G7" s="47" t="s">
        <v>35</v>
      </c>
      <c r="H7" s="47" t="s">
        <v>34</v>
      </c>
      <c r="I7" s="48" t="s">
        <v>38</v>
      </c>
    </row>
    <row r="8" spans="1:9">
      <c r="A8" s="43" t="s">
        <v>39</v>
      </c>
      <c r="B8" s="44">
        <v>0.3</v>
      </c>
      <c r="C8" s="45">
        <v>1</v>
      </c>
      <c r="D8" s="46">
        <f>C8*$B$3*B8</f>
        <v>0.99999999989999999</v>
      </c>
      <c r="E8" s="47" t="s">
        <v>31</v>
      </c>
      <c r="F8" s="47" t="s">
        <v>32</v>
      </c>
      <c r="G8" s="47" t="s">
        <v>35</v>
      </c>
      <c r="H8" s="47" t="s">
        <v>34</v>
      </c>
      <c r="I8" s="48" t="s">
        <v>40</v>
      </c>
    </row>
    <row r="9" spans="1:9" ht="13.15">
      <c r="A9" s="37"/>
      <c r="B9" s="49"/>
      <c r="C9" s="50"/>
      <c r="D9" s="40"/>
      <c r="E9" s="47"/>
      <c r="F9" s="47"/>
      <c r="G9" s="47"/>
      <c r="H9" s="47"/>
      <c r="I9" s="42"/>
    </row>
    <row r="10" spans="1:9" ht="13.15">
      <c r="A10" s="37" t="s">
        <v>41</v>
      </c>
      <c r="B10" s="38">
        <v>1.4</v>
      </c>
      <c r="C10" s="39" t="s">
        <v>30</v>
      </c>
      <c r="D10" s="40">
        <f>SUM(D11:D13)</f>
        <v>7.3333333326000005</v>
      </c>
      <c r="E10" s="41" t="s">
        <v>31</v>
      </c>
      <c r="F10" s="41" t="s">
        <v>32</v>
      </c>
      <c r="G10" s="41" t="s">
        <v>33</v>
      </c>
      <c r="H10" s="41" t="s">
        <v>34</v>
      </c>
      <c r="I10" s="42"/>
    </row>
    <row r="11" spans="1:9" ht="25.5">
      <c r="A11" s="43" t="s">
        <v>42</v>
      </c>
      <c r="B11" s="44">
        <v>0.3</v>
      </c>
      <c r="C11" s="45">
        <v>1</v>
      </c>
      <c r="D11" s="46">
        <f>C11*$B$3*B11</f>
        <v>0.99999999989999999</v>
      </c>
      <c r="E11" s="47" t="s">
        <v>43</v>
      </c>
      <c r="F11" s="47" t="s">
        <v>44</v>
      </c>
      <c r="G11" s="47" t="s">
        <v>45</v>
      </c>
      <c r="H11" s="47" t="s">
        <v>46</v>
      </c>
      <c r="I11" s="51" t="s">
        <v>47</v>
      </c>
    </row>
    <row r="12" spans="1:9" ht="25.5">
      <c r="A12" s="43" t="s">
        <v>48</v>
      </c>
      <c r="B12" s="44">
        <v>0.8</v>
      </c>
      <c r="C12" s="45">
        <v>2</v>
      </c>
      <c r="D12" s="46">
        <f>C12*$B$3*B12</f>
        <v>5.3333333328000005</v>
      </c>
      <c r="E12" s="47" t="s">
        <v>49</v>
      </c>
      <c r="F12" s="47" t="s">
        <v>33</v>
      </c>
      <c r="G12" s="47" t="s">
        <v>50</v>
      </c>
      <c r="H12" s="47" t="s">
        <v>31</v>
      </c>
      <c r="I12" s="51" t="s">
        <v>51</v>
      </c>
    </row>
    <row r="13" spans="1:9">
      <c r="A13" s="43" t="s">
        <v>52</v>
      </c>
      <c r="B13" s="44">
        <v>0.3</v>
      </c>
      <c r="C13" s="45">
        <v>1</v>
      </c>
      <c r="D13" s="46">
        <f>C13*$B$3*B13</f>
        <v>0.99999999989999999</v>
      </c>
      <c r="E13" s="47" t="s">
        <v>31</v>
      </c>
      <c r="F13" s="47" t="s">
        <v>32</v>
      </c>
      <c r="G13" s="47" t="s">
        <v>35</v>
      </c>
      <c r="H13" s="47" t="s">
        <v>34</v>
      </c>
      <c r="I13" s="51" t="s">
        <v>53</v>
      </c>
    </row>
    <row r="14" spans="1:9" ht="13.15">
      <c r="A14" s="37"/>
      <c r="B14" s="49"/>
      <c r="C14" s="50"/>
      <c r="D14" s="40"/>
      <c r="E14" s="47"/>
      <c r="F14" s="47"/>
      <c r="G14" s="47"/>
      <c r="H14" s="47"/>
      <c r="I14" s="42"/>
    </row>
    <row r="15" spans="1:9" ht="13.15">
      <c r="A15" s="37" t="s">
        <v>54</v>
      </c>
      <c r="B15" s="38">
        <v>2.9</v>
      </c>
      <c r="C15" s="39" t="s">
        <v>55</v>
      </c>
      <c r="D15" s="40">
        <f>SUM(D16:D17)</f>
        <v>26.3333333307</v>
      </c>
      <c r="E15" s="41" t="s">
        <v>31</v>
      </c>
      <c r="F15" s="41" t="s">
        <v>32</v>
      </c>
      <c r="G15" s="41" t="s">
        <v>35</v>
      </c>
      <c r="H15" s="41" t="s">
        <v>34</v>
      </c>
      <c r="I15" s="42"/>
    </row>
    <row r="16" spans="1:9" ht="25.5">
      <c r="A16" s="52" t="s">
        <v>56</v>
      </c>
      <c r="B16" s="53">
        <v>2.1</v>
      </c>
      <c r="C16" s="54">
        <v>3</v>
      </c>
      <c r="D16" s="46">
        <f>C16*$B$3*B16</f>
        <v>20.999999997900002</v>
      </c>
      <c r="E16" s="55" t="s">
        <v>57</v>
      </c>
      <c r="F16" s="55" t="s">
        <v>58</v>
      </c>
      <c r="G16" s="55" t="s">
        <v>59</v>
      </c>
      <c r="H16" s="55" t="s">
        <v>60</v>
      </c>
      <c r="I16" s="51" t="s">
        <v>61</v>
      </c>
    </row>
    <row r="17" spans="1:10">
      <c r="A17" s="52" t="s">
        <v>17</v>
      </c>
      <c r="B17" s="53">
        <v>0.8</v>
      </c>
      <c r="C17" s="56">
        <v>2</v>
      </c>
      <c r="D17" s="46">
        <f>C17*$B$3*B17</f>
        <v>5.3333333328000005</v>
      </c>
      <c r="E17" s="55" t="s">
        <v>62</v>
      </c>
      <c r="F17" s="55" t="s">
        <v>63</v>
      </c>
      <c r="G17" s="55" t="s">
        <v>64</v>
      </c>
      <c r="H17" s="55" t="s">
        <v>34</v>
      </c>
      <c r="I17" s="51" t="s">
        <v>65</v>
      </c>
    </row>
    <row r="18" spans="1:10" ht="13.15">
      <c r="A18" s="57"/>
      <c r="B18" s="53"/>
      <c r="C18" s="58"/>
      <c r="D18" s="46"/>
      <c r="E18" s="55"/>
      <c r="F18" s="55"/>
      <c r="G18" s="55"/>
      <c r="H18" s="55"/>
      <c r="I18" s="42"/>
    </row>
    <row r="19" spans="1:10" ht="13.15">
      <c r="A19" s="37" t="s">
        <v>66</v>
      </c>
      <c r="B19" s="38">
        <v>3.3</v>
      </c>
      <c r="C19" s="39" t="s">
        <v>30</v>
      </c>
      <c r="D19" s="40">
        <f>SUM(D20:D21)</f>
        <v>28.666666663800001</v>
      </c>
      <c r="E19" s="41" t="s">
        <v>31</v>
      </c>
      <c r="F19" s="41" t="s">
        <v>32</v>
      </c>
      <c r="G19" s="41" t="s">
        <v>33</v>
      </c>
      <c r="H19" s="41" t="s">
        <v>34</v>
      </c>
      <c r="I19" s="42"/>
    </row>
    <row r="20" spans="1:10" ht="25.5">
      <c r="A20" s="52" t="s">
        <v>67</v>
      </c>
      <c r="B20" s="53">
        <v>1.3</v>
      </c>
      <c r="C20" s="54">
        <v>2</v>
      </c>
      <c r="D20" s="46">
        <f>C20*$B$3*B20</f>
        <v>8.6666666658000011</v>
      </c>
      <c r="E20" s="55" t="s">
        <v>68</v>
      </c>
      <c r="F20" s="55" t="s">
        <v>69</v>
      </c>
      <c r="G20" s="55" t="s">
        <v>70</v>
      </c>
      <c r="H20" s="55" t="s">
        <v>71</v>
      </c>
      <c r="I20" s="51" t="s">
        <v>72</v>
      </c>
    </row>
    <row r="21" spans="1:10">
      <c r="A21" s="59" t="s">
        <v>20</v>
      </c>
      <c r="B21" s="60">
        <v>2</v>
      </c>
      <c r="C21" s="61">
        <v>3</v>
      </c>
      <c r="D21" s="46">
        <f>C21*$B$3*B21</f>
        <v>19.999999998</v>
      </c>
      <c r="E21" s="62" t="s">
        <v>31</v>
      </c>
      <c r="F21" s="62" t="s">
        <v>32</v>
      </c>
      <c r="G21" s="62" t="s">
        <v>35</v>
      </c>
      <c r="H21" s="62" t="s">
        <v>34</v>
      </c>
      <c r="I21" s="51" t="s">
        <v>73</v>
      </c>
    </row>
    <row r="22" spans="1:10">
      <c r="A22" s="63"/>
      <c r="B22" s="64"/>
      <c r="C22" s="65"/>
      <c r="D22" s="66"/>
      <c r="E22" s="67"/>
      <c r="F22" s="67"/>
      <c r="G22" s="67"/>
      <c r="H22" s="67"/>
      <c r="I22" s="68"/>
      <c r="J22" s="64"/>
    </row>
    <row r="23" spans="1:10" ht="13.15">
      <c r="A23" s="69" t="s">
        <v>74</v>
      </c>
      <c r="B23" s="70" t="s">
        <v>75</v>
      </c>
      <c r="C23" s="71"/>
      <c r="D23" s="72">
        <f>SUM(D19,D15,D10,D5)</f>
        <v>77.333333325599995</v>
      </c>
      <c r="E23" s="73"/>
      <c r="F23" s="73"/>
      <c r="G23" s="73"/>
      <c r="H23" s="73"/>
      <c r="I23" s="74"/>
      <c r="J23" s="64"/>
    </row>
    <row r="24" spans="1:10">
      <c r="A24" s="27"/>
      <c r="B24" s="28"/>
      <c r="C24" s="28"/>
      <c r="D24" s="29"/>
      <c r="E24" s="28"/>
      <c r="F24" s="28"/>
      <c r="G24" s="28"/>
      <c r="H24" s="28"/>
      <c r="I24" s="30"/>
    </row>
    <row r="25" spans="1:10">
      <c r="A25" s="89"/>
      <c r="B25" s="89"/>
      <c r="C25" s="75"/>
      <c r="D25" s="76" t="s">
        <v>76</v>
      </c>
      <c r="E25" s="28"/>
      <c r="F25" s="28"/>
      <c r="G25" s="28"/>
      <c r="H25" s="28"/>
      <c r="I25" s="30"/>
    </row>
    <row r="26" spans="1:10" ht="13.15">
      <c r="A26" s="77"/>
      <c r="B26" s="77"/>
      <c r="C26" s="28"/>
      <c r="D26" s="29"/>
      <c r="E26" s="28"/>
      <c r="F26" s="28"/>
      <c r="G26" s="28"/>
      <c r="H26" s="28"/>
      <c r="I26" s="30"/>
    </row>
    <row r="27" spans="1:10" ht="13.15">
      <c r="A27" s="77"/>
      <c r="B27" s="77"/>
      <c r="C27" s="28"/>
      <c r="D27" s="78" t="s">
        <v>77</v>
      </c>
      <c r="E27" s="79" t="s">
        <v>78</v>
      </c>
      <c r="F27" s="28"/>
      <c r="G27" s="28"/>
      <c r="H27" s="28"/>
      <c r="I27" s="30"/>
    </row>
    <row r="28" spans="1:10" ht="13.15">
      <c r="A28" s="77"/>
      <c r="B28" s="77"/>
      <c r="C28" s="28"/>
      <c r="D28" s="76" t="s">
        <v>79</v>
      </c>
      <c r="E28" s="80">
        <v>0.5</v>
      </c>
      <c r="F28" s="28"/>
      <c r="G28" s="28"/>
      <c r="H28" s="28"/>
      <c r="I28" s="30"/>
    </row>
    <row r="29" spans="1:10" ht="13.15">
      <c r="A29" s="77"/>
      <c r="B29" s="77"/>
      <c r="C29" s="28"/>
      <c r="D29" s="76" t="s">
        <v>80</v>
      </c>
      <c r="E29" s="80">
        <v>0.4</v>
      </c>
      <c r="F29" s="28"/>
      <c r="G29" s="28"/>
      <c r="H29" s="28"/>
      <c r="I29" s="30"/>
    </row>
    <row r="30" spans="1:10" ht="13.15">
      <c r="A30" s="77"/>
      <c r="B30" s="77"/>
      <c r="C30" s="28"/>
      <c r="D30" s="76" t="s">
        <v>81</v>
      </c>
      <c r="E30" s="80">
        <v>0.3</v>
      </c>
      <c r="F30" s="28"/>
      <c r="G30" s="28"/>
      <c r="H30" s="28"/>
      <c r="I30" s="30"/>
    </row>
    <row r="31" spans="1:10" ht="13.15">
      <c r="A31" s="77"/>
      <c r="B31" s="77"/>
      <c r="C31" s="28"/>
      <c r="D31" s="76" t="s">
        <v>82</v>
      </c>
      <c r="E31" s="80">
        <v>0.2</v>
      </c>
      <c r="F31" s="28"/>
      <c r="G31" s="28"/>
      <c r="H31" s="28"/>
      <c r="I31" s="30"/>
    </row>
    <row r="32" spans="1:10" ht="13.15">
      <c r="A32" s="77"/>
      <c r="B32" s="80"/>
      <c r="C32" s="80"/>
      <c r="D32" s="76" t="s">
        <v>83</v>
      </c>
      <c r="E32" s="80">
        <v>0.16</v>
      </c>
      <c r="F32" s="28"/>
      <c r="G32" s="28"/>
      <c r="H32" s="28"/>
      <c r="I32" s="30"/>
    </row>
    <row r="33" spans="1:9">
      <c r="A33" s="81"/>
      <c r="B33" s="80"/>
      <c r="C33" s="80"/>
      <c r="D33" s="76" t="s">
        <v>84</v>
      </c>
      <c r="E33" s="80">
        <v>0.14000000000000001</v>
      </c>
      <c r="F33" s="28"/>
      <c r="G33" s="28"/>
      <c r="H33" s="28"/>
      <c r="I33" s="30"/>
    </row>
    <row r="34" spans="1:9">
      <c r="A34" s="81"/>
      <c r="B34" s="80"/>
      <c r="C34" s="80"/>
      <c r="D34" s="76" t="s">
        <v>85</v>
      </c>
      <c r="E34" s="80">
        <v>0.12</v>
      </c>
      <c r="F34" s="28"/>
      <c r="G34" s="28"/>
      <c r="H34" s="28"/>
      <c r="I34" s="30"/>
    </row>
    <row r="35" spans="1:9">
      <c r="A35" s="82"/>
      <c r="B35" s="80"/>
      <c r="C35" s="80"/>
      <c r="D35" s="76" t="s">
        <v>86</v>
      </c>
      <c r="E35" s="80">
        <v>0.08</v>
      </c>
      <c r="F35" s="28"/>
      <c r="G35" s="28"/>
      <c r="H35" s="28"/>
      <c r="I35" s="30"/>
    </row>
    <row r="36" spans="1:9">
      <c r="A36" s="82"/>
      <c r="B36" s="80"/>
      <c r="C36" s="80"/>
      <c r="D36" s="83" t="s">
        <v>87</v>
      </c>
      <c r="E36" s="80">
        <v>0.06</v>
      </c>
      <c r="F36" s="28"/>
      <c r="G36" s="28"/>
      <c r="H36" s="28"/>
      <c r="I36" s="30"/>
    </row>
    <row r="37" spans="1:9">
      <c r="A37" s="82"/>
      <c r="B37" s="80"/>
      <c r="C37" s="80"/>
      <c r="D37" s="83" t="s">
        <v>88</v>
      </c>
      <c r="E37" s="80">
        <v>0.04</v>
      </c>
      <c r="F37" s="28"/>
      <c r="G37" s="28"/>
      <c r="H37" s="28"/>
      <c r="I37" s="30"/>
    </row>
    <row r="38" spans="1:9">
      <c r="A38" s="82"/>
      <c r="B38" s="80"/>
      <c r="C38" s="80"/>
      <c r="D38" s="76"/>
      <c r="E38" s="80"/>
      <c r="F38" s="28"/>
      <c r="G38" s="28"/>
      <c r="H38" s="28"/>
      <c r="I38" s="30"/>
    </row>
    <row r="39" spans="1:9">
      <c r="A39" s="82"/>
      <c r="B39" s="80"/>
      <c r="C39" s="80"/>
      <c r="D39" s="76"/>
      <c r="E39" s="80"/>
      <c r="F39" s="28"/>
      <c r="G39" s="28"/>
      <c r="H39" s="28"/>
      <c r="I39" s="30"/>
    </row>
    <row r="40" spans="1:9">
      <c r="A40" s="82"/>
      <c r="B40" s="80"/>
      <c r="C40" s="80"/>
      <c r="D40" s="76"/>
      <c r="E40" s="80"/>
      <c r="F40" s="28"/>
      <c r="G40" s="28"/>
      <c r="H40" s="28"/>
      <c r="I40" s="30"/>
    </row>
    <row r="41" spans="1:9">
      <c r="A41" s="82"/>
      <c r="B41" s="28"/>
      <c r="C41" s="28"/>
      <c r="D41" s="29"/>
      <c r="E41" s="28"/>
      <c r="F41" s="28"/>
      <c r="G41" s="28"/>
      <c r="H41" s="28"/>
      <c r="I41" s="30"/>
    </row>
    <row r="42" spans="1:9">
      <c r="A42" s="27"/>
      <c r="B42" s="28"/>
      <c r="C42" s="28"/>
      <c r="D42" s="29"/>
      <c r="E42" s="28"/>
      <c r="F42" s="28"/>
      <c r="G42" s="28"/>
      <c r="H42" s="28"/>
      <c r="I42" s="30"/>
    </row>
    <row r="43" spans="1:9">
      <c r="A43" s="27"/>
      <c r="B43" s="28"/>
      <c r="C43" s="28"/>
      <c r="D43" s="29"/>
      <c r="E43" s="28"/>
      <c r="F43" s="28"/>
      <c r="G43" s="28"/>
      <c r="H43" s="28"/>
      <c r="I43" s="30"/>
    </row>
    <row r="44" spans="1:9">
      <c r="A44" s="27"/>
    </row>
  </sheetData>
  <mergeCells count="2">
    <mergeCell ref="A1:I1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Yellapragada, Sahasra</dc:creator>
  <cp:keywords/>
  <dc:description/>
  <cp:lastModifiedBy>Guest User</cp:lastModifiedBy>
  <cp:revision/>
  <dcterms:created xsi:type="dcterms:W3CDTF">2026-03-12T00:23:38Z</dcterms:created>
  <dcterms:modified xsi:type="dcterms:W3CDTF">2026-03-12T23:35:28Z</dcterms:modified>
  <cp:category/>
  <cp:contentStatus/>
</cp:coreProperties>
</file>