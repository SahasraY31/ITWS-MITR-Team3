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piexchange-my.sharepoint.com/personal/yellas_rpi_edu/Documents/"/>
    </mc:Choice>
  </mc:AlternateContent>
  <xr:revisionPtr revIDLastSave="180" documentId="8_{17F51F09-8216-49D5-8A9D-33C7065D677E}" xr6:coauthVersionLast="47" xr6:coauthVersionMax="47" xr10:uidLastSave="{58F58B76-094A-48F1-B722-B352DB7200CF}"/>
  <bookViews>
    <workbookView xWindow="-98" yWindow="-98" windowWidth="19396" windowHeight="11475" xr2:uid="{F3ACC6A4-8443-46E9-914A-4BF88405C1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4" i="1"/>
  <c r="G11" i="1"/>
  <c r="F11" i="1"/>
  <c r="E11" i="1"/>
  <c r="D11" i="1"/>
  <c r="D13" i="1" s="1"/>
  <c r="D8" i="1"/>
  <c r="C11" i="1"/>
  <c r="C10" i="1"/>
  <c r="D10" i="1" s="1"/>
  <c r="E10" i="1" s="1"/>
  <c r="F10" i="1" s="1"/>
  <c r="G10" i="1" s="1"/>
  <c r="D9" i="1"/>
  <c r="E9" i="1"/>
  <c r="F9" i="1"/>
  <c r="G9" i="1"/>
  <c r="C9" i="1"/>
  <c r="E8" i="1"/>
  <c r="F8" i="1"/>
  <c r="G8" i="1"/>
  <c r="C8" i="1"/>
  <c r="C13" i="1" l="1"/>
  <c r="E13" i="1"/>
  <c r="G13" i="1"/>
  <c r="F13" i="1"/>
  <c r="H11" i="1"/>
  <c r="H9" i="1"/>
  <c r="H8" i="1"/>
  <c r="H10" i="1"/>
  <c r="C3" i="1"/>
  <c r="E5" i="1"/>
  <c r="F5" i="1"/>
  <c r="G5" i="1"/>
  <c r="D5" i="1"/>
  <c r="H13" i="1" l="1"/>
  <c r="C6" i="1"/>
  <c r="D6" i="1"/>
  <c r="H4" i="1"/>
  <c r="E6" i="1"/>
  <c r="C14" i="1" l="1"/>
  <c r="E14" i="1"/>
  <c r="D14" i="1"/>
  <c r="H5" i="1"/>
  <c r="G6" i="1" l="1"/>
  <c r="G14" i="1" s="1"/>
  <c r="H3" i="1"/>
  <c r="F6" i="1"/>
  <c r="F14" i="1" l="1"/>
  <c r="H6" i="1"/>
  <c r="B17" i="1" l="1"/>
  <c r="H14" i="1" l="1"/>
</calcChain>
</file>

<file path=xl/sharedStrings.xml><?xml version="1.0" encoding="utf-8"?>
<sst xmlns="http://schemas.openxmlformats.org/spreadsheetml/2006/main" count="28" uniqueCount="28">
  <si>
    <t>Youth Council CBA</t>
  </si>
  <si>
    <t>Year 0 - 2025</t>
  </si>
  <si>
    <t>Year 1 - 2026</t>
  </si>
  <si>
    <t>Year 2 - 2027</t>
  </si>
  <si>
    <t>Year 3 -2028</t>
  </si>
  <si>
    <t>Year 4 - 2029</t>
  </si>
  <si>
    <t xml:space="preserve">Total </t>
  </si>
  <si>
    <t>Costs</t>
  </si>
  <si>
    <t>Consulting</t>
  </si>
  <si>
    <t>1 meeting @ $30/hr with Client Liason + 7 meetings @ 30 minutes each @ $180/hr (1 Client Liason @ $30/hr, 1 Project Manager @ $30/hr, 3 Developers @ $40/hr)</t>
  </si>
  <si>
    <t xml:space="preserve">Development </t>
  </si>
  <si>
    <t>12 weeks with 5 hours each week ($30/hr Client Liason, $30/hr Project Manager, 3 $40/hr Developer)</t>
  </si>
  <si>
    <t>Future Maintenance</t>
  </si>
  <si>
    <t xml:space="preserve">5 hours/year for Youth Council ($30/hr) to continue updating the site and working on any issues presented </t>
  </si>
  <si>
    <t>Total Costs</t>
  </si>
  <si>
    <t>Benefits</t>
  </si>
  <si>
    <t>Admin Approvals</t>
  </si>
  <si>
    <t>50 hrs/year spent taking care of paperwork to approve student volunteer hours</t>
  </si>
  <si>
    <t>Grant Reporting</t>
  </si>
  <si>
    <t>5 hr/year spent tallying up total hours, other metrics for reporting</t>
  </si>
  <si>
    <t>Volunteer Retention + Site Use</t>
  </si>
  <si>
    <t>Around 15% of volunteer/volunteering hours lost due to students not using website (40 students avg per event * 20 events per year* 2 hours avg per event * 0.15 * 15/hr avg minimum wage rate) this will help increase member size by 3% every year</t>
  </si>
  <si>
    <t>Increase in Volunteer Opportunities</t>
  </si>
  <si>
    <t>Creating a new landing page so that other companies interested can work with Youth Council. If 1 new partner joins every year, this would increase labor hours by 80 each year (avg 40 students * 2 hours per event)</t>
  </si>
  <si>
    <t>Total Benefits</t>
  </si>
  <si>
    <t>Total Savings</t>
  </si>
  <si>
    <t>Internal Rate of Return:</t>
  </si>
  <si>
    <t>Net Present Value when interest 30%: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</si>
</sst>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44" fontId="0" fillId="0" borderId="0" xfId="1" applyFont="1"/>
    <xf numFmtId="44" fontId="2" fillId="0" borderId="0" xfId="1" applyFont="1"/>
    <xf numFmtId="44" fontId="0" fillId="0" borderId="0" xfId="0" applyNumberFormat="1"/>
    <xf numFmtId="44" fontId="2" fillId="0" borderId="0" xfId="0" applyNumberFormat="1" applyFont="1"/>
    <xf numFmtId="8" fontId="2" fillId="0" borderId="0" xfId="0" applyNumberFormat="1" applyFont="1"/>
    <xf numFmtId="8" fontId="0" fillId="0" borderId="0" xfId="0" applyNumberFormat="1"/>
    <xf numFmtId="10" fontId="2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6" fontId="2" fillId="0" borderId="0" xfId="0" applyNumberFormat="1" applyFont="1"/>
    <xf numFmtId="9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63A6-8B5D-4C05-95BB-40172E14747B}">
  <dimension ref="A1:I20"/>
  <sheetViews>
    <sheetView tabSelected="1" topLeftCell="A2" workbookViewId="0">
      <selection activeCell="H10" sqref="H10"/>
    </sheetView>
  </sheetViews>
  <sheetFormatPr defaultRowHeight="14.25" x14ac:dyDescent="0.45"/>
  <cols>
    <col min="1" max="1" width="35.265625" bestFit="1" customWidth="1"/>
    <col min="2" max="2" width="12.3984375" bestFit="1" customWidth="1"/>
    <col min="3" max="3" width="12.59765625" bestFit="1" customWidth="1"/>
    <col min="4" max="5" width="12" bestFit="1" customWidth="1"/>
    <col min="6" max="8" width="13.59765625" bestFit="1" customWidth="1"/>
  </cols>
  <sheetData>
    <row r="1" spans="1:9" x14ac:dyDescent="0.45">
      <c r="A1" s="9" t="s">
        <v>0</v>
      </c>
      <c r="B1" s="9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</row>
    <row r="2" spans="1:9" x14ac:dyDescent="0.45">
      <c r="A2" s="10" t="s">
        <v>7</v>
      </c>
      <c r="B2" s="10"/>
      <c r="C2" s="10"/>
      <c r="D2" s="10"/>
      <c r="E2" s="10"/>
      <c r="F2" s="10"/>
      <c r="G2" s="10"/>
      <c r="H2" s="10"/>
    </row>
    <row r="3" spans="1:9" x14ac:dyDescent="0.45">
      <c r="A3" t="s">
        <v>8</v>
      </c>
      <c r="C3" s="2">
        <f>(7*180)/2 + 15</f>
        <v>645</v>
      </c>
      <c r="D3" s="2">
        <v>0</v>
      </c>
      <c r="E3" s="2">
        <v>0</v>
      </c>
      <c r="F3" s="2">
        <v>0</v>
      </c>
      <c r="G3" s="2">
        <v>0</v>
      </c>
      <c r="H3" s="2">
        <f>SUM(C3:G3)</f>
        <v>645</v>
      </c>
      <c r="I3" t="s">
        <v>9</v>
      </c>
    </row>
    <row r="4" spans="1:9" x14ac:dyDescent="0.45">
      <c r="A4" t="s">
        <v>10</v>
      </c>
      <c r="C4" s="2">
        <f>60*(180)</f>
        <v>10800</v>
      </c>
      <c r="D4" s="2">
        <v>0</v>
      </c>
      <c r="E4" s="2">
        <v>0</v>
      </c>
      <c r="F4" s="2">
        <v>0</v>
      </c>
      <c r="G4" s="2">
        <v>0</v>
      </c>
      <c r="H4" s="2">
        <f t="shared" ref="H4:H6" si="0">SUM(C4:G4)</f>
        <v>10800</v>
      </c>
      <c r="I4" t="s">
        <v>11</v>
      </c>
    </row>
    <row r="5" spans="1:9" x14ac:dyDescent="0.45">
      <c r="A5" t="s">
        <v>12</v>
      </c>
      <c r="C5" s="2">
        <v>0</v>
      </c>
      <c r="D5" s="2">
        <f>5*30</f>
        <v>150</v>
      </c>
      <c r="E5" s="2">
        <f t="shared" ref="E5:G5" si="1">5*30</f>
        <v>150</v>
      </c>
      <c r="F5" s="2">
        <f t="shared" si="1"/>
        <v>150</v>
      </c>
      <c r="G5" s="2">
        <f t="shared" si="1"/>
        <v>150</v>
      </c>
      <c r="H5" s="2">
        <f t="shared" si="0"/>
        <v>600</v>
      </c>
      <c r="I5" t="s">
        <v>13</v>
      </c>
    </row>
    <row r="6" spans="1:9" x14ac:dyDescent="0.45">
      <c r="A6" s="1" t="s">
        <v>14</v>
      </c>
      <c r="B6" s="1"/>
      <c r="C6" s="3">
        <f>SUM(C3:C5)</f>
        <v>11445</v>
      </c>
      <c r="D6" s="3">
        <f>SUM(D3:D5)</f>
        <v>150</v>
      </c>
      <c r="E6" s="3">
        <f>SUM(E3:E5)</f>
        <v>150</v>
      </c>
      <c r="F6" s="3">
        <f>SUM(F3:F5)</f>
        <v>150</v>
      </c>
      <c r="G6" s="3">
        <f>SUM(G3:G5)</f>
        <v>150</v>
      </c>
      <c r="H6" s="3">
        <f t="shared" si="0"/>
        <v>12045</v>
      </c>
    </row>
    <row r="7" spans="1:9" x14ac:dyDescent="0.45">
      <c r="A7" s="10" t="s">
        <v>15</v>
      </c>
      <c r="B7" s="10"/>
      <c r="C7" s="10"/>
      <c r="D7" s="10"/>
      <c r="E7" s="10"/>
      <c r="F7" s="10"/>
      <c r="G7" s="10"/>
      <c r="H7" s="10"/>
    </row>
    <row r="8" spans="1:9" x14ac:dyDescent="0.45">
      <c r="A8" t="s">
        <v>16</v>
      </c>
      <c r="C8" s="2">
        <f>50*40</f>
        <v>2000</v>
      </c>
      <c r="D8" s="2">
        <f>50*40</f>
        <v>2000</v>
      </c>
      <c r="E8" s="2">
        <f t="shared" ref="E8:G8" si="2">50*40</f>
        <v>2000</v>
      </c>
      <c r="F8" s="2">
        <f t="shared" si="2"/>
        <v>2000</v>
      </c>
      <c r="G8" s="2">
        <f t="shared" si="2"/>
        <v>2000</v>
      </c>
      <c r="H8" s="2">
        <f>SUM(C8:G8)</f>
        <v>10000</v>
      </c>
      <c r="I8" t="s">
        <v>17</v>
      </c>
    </row>
    <row r="9" spans="1:9" x14ac:dyDescent="0.45">
      <c r="A9" t="s">
        <v>18</v>
      </c>
      <c r="C9" s="2">
        <f>5*40</f>
        <v>200</v>
      </c>
      <c r="D9" s="2">
        <f t="shared" ref="D9:G9" si="3">5*40</f>
        <v>200</v>
      </c>
      <c r="E9" s="2">
        <f t="shared" si="3"/>
        <v>200</v>
      </c>
      <c r="F9" s="2">
        <f t="shared" si="3"/>
        <v>200</v>
      </c>
      <c r="G9" s="2">
        <f t="shared" si="3"/>
        <v>200</v>
      </c>
      <c r="H9" s="2">
        <f>SUM(C9:G9)</f>
        <v>1000</v>
      </c>
      <c r="I9" t="s">
        <v>19</v>
      </c>
    </row>
    <row r="10" spans="1:9" x14ac:dyDescent="0.45">
      <c r="A10" t="s">
        <v>20</v>
      </c>
      <c r="C10" s="2">
        <f>40*20*2*0.15*15</f>
        <v>3600</v>
      </c>
      <c r="D10" s="2">
        <f>C10*1.03</f>
        <v>3708</v>
      </c>
      <c r="E10" s="2">
        <f t="shared" ref="E10:G10" si="4">D10*1.03</f>
        <v>3819.2400000000002</v>
      </c>
      <c r="F10" s="2">
        <f t="shared" si="4"/>
        <v>3933.8172000000004</v>
      </c>
      <c r="G10" s="2">
        <f t="shared" si="4"/>
        <v>4051.8317160000006</v>
      </c>
      <c r="H10" s="4">
        <f>SUM(C10:G10)</f>
        <v>19112.888916</v>
      </c>
      <c r="I10" t="s">
        <v>21</v>
      </c>
    </row>
    <row r="11" spans="1:9" x14ac:dyDescent="0.45">
      <c r="A11" t="s">
        <v>22</v>
      </c>
      <c r="C11" s="2">
        <f>40*2*15</f>
        <v>1200</v>
      </c>
      <c r="D11" s="2">
        <f>C11*2</f>
        <v>2400</v>
      </c>
      <c r="E11" s="2">
        <f>$C11*3</f>
        <v>3600</v>
      </c>
      <c r="F11" s="2">
        <f>$C11*4</f>
        <v>4800</v>
      </c>
      <c r="G11" s="2">
        <f>$C11*5</f>
        <v>6000</v>
      </c>
      <c r="H11" s="4">
        <f>SUM(C11:G11)</f>
        <v>18000</v>
      </c>
      <c r="I11" t="s">
        <v>23</v>
      </c>
    </row>
    <row r="12" spans="1:9" x14ac:dyDescent="0.45">
      <c r="C12" s="2"/>
      <c r="D12" s="2"/>
      <c r="E12" s="2"/>
      <c r="F12" s="2"/>
      <c r="G12" s="2"/>
      <c r="H12" s="4"/>
    </row>
    <row r="13" spans="1:9" x14ac:dyDescent="0.45">
      <c r="A13" s="1" t="s">
        <v>24</v>
      </c>
      <c r="B13" s="1"/>
      <c r="C13" s="3">
        <f>SUM(C8:C11)</f>
        <v>7000</v>
      </c>
      <c r="D13" s="3">
        <f t="shared" ref="D13:G13" si="5">SUM(D8:D11)</f>
        <v>8308</v>
      </c>
      <c r="E13" s="3">
        <f t="shared" si="5"/>
        <v>9619.24</v>
      </c>
      <c r="F13" s="3">
        <f t="shared" si="5"/>
        <v>10933.817200000001</v>
      </c>
      <c r="G13" s="3">
        <f t="shared" si="5"/>
        <v>12251.831716000001</v>
      </c>
      <c r="H13" s="5">
        <f>SUM(H8:H11)</f>
        <v>48112.888915999996</v>
      </c>
    </row>
    <row r="14" spans="1:9" x14ac:dyDescent="0.45">
      <c r="A14" s="1" t="s">
        <v>25</v>
      </c>
      <c r="B14" s="1"/>
      <c r="C14" s="5">
        <f t="shared" ref="C14:H14" si="6">C13-C6</f>
        <v>-4445</v>
      </c>
      <c r="D14" s="5">
        <f t="shared" si="6"/>
        <v>8158</v>
      </c>
      <c r="E14" s="5">
        <f t="shared" si="6"/>
        <v>9469.24</v>
      </c>
      <c r="F14" s="5">
        <f t="shared" si="6"/>
        <v>10783.817200000001</v>
      </c>
      <c r="G14" s="5">
        <f t="shared" si="6"/>
        <v>12101.831716000001</v>
      </c>
      <c r="H14" s="5">
        <f t="shared" si="6"/>
        <v>36067.888915999996</v>
      </c>
    </row>
    <row r="16" spans="1:9" x14ac:dyDescent="0.45">
      <c r="A16" s="1" t="s">
        <v>27</v>
      </c>
      <c r="B16" s="11">
        <f>NPV(0.3,D14:G14)+C14</f>
        <v>16579.101283568503</v>
      </c>
      <c r="C16" s="7"/>
    </row>
    <row r="17" spans="1:2" x14ac:dyDescent="0.45">
      <c r="A17" s="1" t="s">
        <v>26</v>
      </c>
      <c r="B17" s="12">
        <f>IRR(C14:G14)</f>
        <v>1.9450016307718592</v>
      </c>
    </row>
    <row r="19" spans="1:2" x14ac:dyDescent="0.45">
      <c r="A19" s="1"/>
      <c r="B19" s="6"/>
    </row>
    <row r="20" spans="1:2" x14ac:dyDescent="0.45">
      <c r="A20" s="1"/>
      <c r="B20" s="8"/>
    </row>
  </sheetData>
  <mergeCells count="2">
    <mergeCell ref="A2:H2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Yellapragada, Sahasra</dc:creator>
  <cp:keywords/>
  <dc:description/>
  <cp:lastModifiedBy>Yellapragada, Sahasra</cp:lastModifiedBy>
  <cp:revision/>
  <dcterms:created xsi:type="dcterms:W3CDTF">2026-02-09T13:04:23Z</dcterms:created>
  <dcterms:modified xsi:type="dcterms:W3CDTF">2026-03-12T20:02:41Z</dcterms:modified>
  <cp:category/>
  <cp:contentStatus/>
</cp:coreProperties>
</file>